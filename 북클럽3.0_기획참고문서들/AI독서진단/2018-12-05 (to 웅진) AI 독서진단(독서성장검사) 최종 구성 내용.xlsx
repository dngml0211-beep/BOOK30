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xl/calcChain.xml" ContentType="application/vnd.openxmlformats-officedocument.spreadsheetml.calcChain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315" windowHeight="8295"/>
  </bookViews>
  <sheets>
    <sheet name="검사전체" sheetId="1" r:id="rId1"/>
  </sheets>
  <definedNames>
    <definedName name="_xlnm.Print_Area" localSheetId="0">검사전체!$A$1:$N$43</definedName>
  </definedNames>
  <calcPr calcId="145621"/>
</workbook>
</file>

<file path=xl/calcChain.xml><?xml version="1.0" encoding="utf-8"?>
<calcChain xmlns="http://schemas.openxmlformats.org/spreadsheetml/2006/main">
  <c r="M41" i="1" l="1"/>
  <c r="M40" i="1"/>
  <c r="M39" i="1"/>
  <c r="M38" i="1"/>
  <c r="M37" i="1"/>
  <c r="M36" i="1"/>
  <c r="M35" i="1"/>
  <c r="M33" i="1"/>
  <c r="M32" i="1"/>
  <c r="M34" i="1"/>
  <c r="M31" i="1"/>
  <c r="M30" i="1"/>
  <c r="N18" i="1"/>
  <c r="M17" i="1"/>
  <c r="M16" i="1"/>
  <c r="M15" i="1"/>
  <c r="M14" i="1"/>
  <c r="M13" i="1"/>
  <c r="M12" i="1"/>
  <c r="M11" i="1"/>
  <c r="M10" i="1"/>
  <c r="N42" i="1"/>
  <c r="M18" i="1" l="1"/>
  <c r="M42" i="1"/>
</calcChain>
</file>

<file path=xl/sharedStrings.xml><?xml version="1.0" encoding="utf-8"?>
<sst xmlns="http://schemas.openxmlformats.org/spreadsheetml/2006/main" count="107" uniqueCount="46">
  <si>
    <t>구분</t>
    <phoneticPr fontId="2" type="noConversion"/>
  </si>
  <si>
    <t>유아동</t>
    <phoneticPr fontId="2" type="noConversion"/>
  </si>
  <si>
    <t>양육자</t>
    <phoneticPr fontId="2" type="noConversion"/>
  </si>
  <si>
    <t>문항수</t>
    <phoneticPr fontId="2" type="noConversion"/>
  </si>
  <si>
    <t>결과처리</t>
    <phoneticPr fontId="2" type="noConversion"/>
  </si>
  <si>
    <t>5점척도</t>
    <phoneticPr fontId="2" type="noConversion"/>
  </si>
  <si>
    <t>5점척도</t>
    <phoneticPr fontId="2" type="noConversion"/>
  </si>
  <si>
    <t>정오</t>
    <phoneticPr fontId="2" type="noConversion"/>
  </si>
  <si>
    <t>검사 수</t>
    <phoneticPr fontId="2" type="noConversion"/>
  </si>
  <si>
    <t>문항구성</t>
    <phoneticPr fontId="2" type="noConversion"/>
  </si>
  <si>
    <t>능력 (시험)</t>
    <phoneticPr fontId="2" type="noConversion"/>
  </si>
  <si>
    <t>흥미 (설문)</t>
    <phoneticPr fontId="2" type="noConversion"/>
  </si>
  <si>
    <t>환경 (설문)</t>
    <phoneticPr fontId="2" type="noConversion"/>
  </si>
  <si>
    <t>텍스트+음성+그림</t>
    <phoneticPr fontId="2" type="noConversion"/>
  </si>
  <si>
    <t>텍스트</t>
    <phoneticPr fontId="2" type="noConversion"/>
  </si>
  <si>
    <t>능력(0~47개월: 설문, 만4세 이상: 시험)</t>
    <phoneticPr fontId="2" type="noConversion"/>
  </si>
  <si>
    <t>텍스트+그림</t>
    <phoneticPr fontId="2" type="noConversion"/>
  </si>
  <si>
    <t>재검시
교체문항수</t>
    <phoneticPr fontId="2" type="noConversion"/>
  </si>
  <si>
    <t>- 문두:텍스트+음성
- 답지:그림</t>
    <phoneticPr fontId="2" type="noConversion"/>
  </si>
  <si>
    <t>4,5점척도</t>
    <phoneticPr fontId="2" type="noConversion"/>
  </si>
  <si>
    <t>* 문두: 문항의 맨 앞에 있는 서술문 혹은 의문문 형식의 글 '다음의 ~~~ 고르세요.' 등</t>
    <phoneticPr fontId="2" type="noConversion"/>
  </si>
  <si>
    <t>* 답지: 선택지( ① ~~, ② ~~ 등)</t>
    <phoneticPr fontId="2" type="noConversion"/>
  </si>
  <si>
    <t>3점척도</t>
    <phoneticPr fontId="2" type="noConversion"/>
  </si>
  <si>
    <t>문항합</t>
    <phoneticPr fontId="2" type="noConversion"/>
  </si>
  <si>
    <t>재검제외</t>
    <phoneticPr fontId="2" type="noConversion"/>
  </si>
  <si>
    <t>재검포함</t>
    <phoneticPr fontId="2" type="noConversion"/>
  </si>
  <si>
    <t>검사 계</t>
    <phoneticPr fontId="2" type="noConversion"/>
  </si>
  <si>
    <t>초등 1학년</t>
    <phoneticPr fontId="2" type="noConversion"/>
  </si>
  <si>
    <t>초등 2학년</t>
    <phoneticPr fontId="2" type="noConversion"/>
  </si>
  <si>
    <t>초등 3학년</t>
    <phoneticPr fontId="2" type="noConversion"/>
  </si>
  <si>
    <t>초등 4학년</t>
    <phoneticPr fontId="2" type="noConversion"/>
  </si>
  <si>
    <t>초등 5학년</t>
    <phoneticPr fontId="2" type="noConversion"/>
  </si>
  <si>
    <t>초등 6학년</t>
    <phoneticPr fontId="2" type="noConversion"/>
  </si>
  <si>
    <t>3점 척도</t>
    <phoneticPr fontId="2" type="noConversion"/>
  </si>
  <si>
    <t>만0-1세 (1~12개월)</t>
    <phoneticPr fontId="2" type="noConversion"/>
  </si>
  <si>
    <t>만2세 (13~24)개월</t>
    <phoneticPr fontId="2" type="noConversion"/>
  </si>
  <si>
    <t>만3세 (25~36개월)</t>
    <phoneticPr fontId="2" type="noConversion"/>
  </si>
  <si>
    <t>만4세 (37~48개월)</t>
    <phoneticPr fontId="2" type="noConversion"/>
  </si>
  <si>
    <t>만5세 (49~60개월)</t>
    <phoneticPr fontId="2" type="noConversion"/>
  </si>
  <si>
    <t>만6세 취학전 아동
(61개월~취학전)</t>
    <phoneticPr fontId="2" type="noConversion"/>
  </si>
  <si>
    <t>5점척도
(6개 선택지 문항 있음)</t>
    <phoneticPr fontId="2" type="noConversion"/>
  </si>
  <si>
    <t>AI 독서진단(독서성장검사) 구성 내용 - 유아동</t>
    <phoneticPr fontId="2" type="noConversion"/>
  </si>
  <si>
    <t>AI 독서진단(독서성장검사) 구성 내용 - 양육자</t>
    <phoneticPr fontId="2" type="noConversion"/>
  </si>
  <si>
    <t>그렇다/아니다
('귀하의 자녀는 다음의 문제를 맞힐 수 있을까요?'라고 질문함)</t>
    <phoneticPr fontId="2" type="noConversion"/>
  </si>
  <si>
    <t>검사 수</t>
    <phoneticPr fontId="2" type="noConversion"/>
  </si>
  <si>
    <t>2018. 12. 5 (수)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</si>
</sst>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z val="14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tabSelected="1" workbookViewId="0">
      <selection activeCell="D2" sqref="D2"/>
    </sheetView>
  </sheetViews>
  <sheetFormatPr defaultRowHeight="16.5" x14ac:dyDescent="0.3"/>
  <cols>
    <col min="1" max="1" width="17.125" style="1" customWidth="1"/>
    <col min="2" max="2" width="7.125" style="1" customWidth="1"/>
    <col min="3" max="3" width="19.125" style="1" customWidth="1"/>
    <col min="4" max="4" width="16.625" style="1" customWidth="1"/>
    <col min="5" max="5" width="7.125" style="1" customWidth="1"/>
    <col min="6" max="7" width="11.625" style="1" customWidth="1"/>
    <col min="8" max="8" width="16.625" style="1" customWidth="1"/>
    <col min="9" max="9" width="7.125" style="1" customWidth="1"/>
    <col min="10" max="10" width="11.625" style="2" customWidth="1"/>
    <col min="11" max="11" width="11.625" style="1" customWidth="1"/>
    <col min="12" max="12" width="16.625" style="1" customWidth="1"/>
    <col min="13" max="14" width="11.625" style="1" customWidth="1"/>
    <col min="15" max="16" width="9" style="1"/>
  </cols>
  <sheetData>
    <row r="1" spans="1:14" ht="18" x14ac:dyDescent="0.3">
      <c r="A1" s="8" t="s">
        <v>41</v>
      </c>
      <c r="D1" s="8"/>
      <c r="E1" s="8"/>
      <c r="F1" s="8"/>
      <c r="G1" s="8"/>
      <c r="H1" s="8"/>
      <c r="I1" s="8"/>
      <c r="J1" s="7"/>
      <c r="K1" s="8"/>
      <c r="L1" s="8"/>
      <c r="M1" s="8"/>
      <c r="N1" s="8"/>
    </row>
    <row r="2" spans="1:14" x14ac:dyDescent="0.3">
      <c r="L2" s="35" t="s">
        <v>45</v>
      </c>
      <c r="M2" s="35"/>
      <c r="N2" s="35"/>
    </row>
    <row r="3" spans="1:14" x14ac:dyDescent="0.3">
      <c r="A3" s="20" t="s">
        <v>0</v>
      </c>
      <c r="B3" s="21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</row>
    <row r="4" spans="1:14" ht="17.25" customHeight="1" x14ac:dyDescent="0.3">
      <c r="A4" s="20"/>
      <c r="B4" s="25" t="s">
        <v>10</v>
      </c>
      <c r="C4" s="25"/>
      <c r="D4" s="25"/>
      <c r="E4" s="25" t="s">
        <v>11</v>
      </c>
      <c r="F4" s="25"/>
      <c r="G4" s="25"/>
      <c r="H4" s="25"/>
      <c r="I4" s="25" t="s">
        <v>12</v>
      </c>
      <c r="J4" s="25"/>
      <c r="K4" s="25"/>
      <c r="L4" s="25"/>
      <c r="M4" s="33" t="s">
        <v>23</v>
      </c>
      <c r="N4" s="34"/>
    </row>
    <row r="5" spans="1:14" ht="30" customHeight="1" x14ac:dyDescent="0.3">
      <c r="A5" s="20"/>
      <c r="B5" s="9" t="s">
        <v>3</v>
      </c>
      <c r="C5" s="9" t="s">
        <v>4</v>
      </c>
      <c r="D5" s="9" t="s">
        <v>9</v>
      </c>
      <c r="E5" s="9" t="s">
        <v>3</v>
      </c>
      <c r="F5" s="6" t="s">
        <v>17</v>
      </c>
      <c r="G5" s="9" t="s">
        <v>4</v>
      </c>
      <c r="H5" s="9" t="s">
        <v>9</v>
      </c>
      <c r="I5" s="9" t="s">
        <v>3</v>
      </c>
      <c r="J5" s="6" t="s">
        <v>17</v>
      </c>
      <c r="K5" s="9" t="s">
        <v>4</v>
      </c>
      <c r="L5" s="9" t="s">
        <v>9</v>
      </c>
      <c r="M5" s="11" t="s">
        <v>24</v>
      </c>
      <c r="N5" s="12" t="s">
        <v>25</v>
      </c>
    </row>
    <row r="6" spans="1:14" x14ac:dyDescent="0.3">
      <c r="A6" s="15" t="s">
        <v>34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x14ac:dyDescent="0.3">
      <c r="A7" s="15" t="s">
        <v>35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x14ac:dyDescent="0.3">
      <c r="A8" s="15" t="s">
        <v>36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14" x14ac:dyDescent="0.3">
      <c r="A9" s="15" t="s">
        <v>37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x14ac:dyDescent="0.3">
      <c r="A10" s="15" t="s">
        <v>38</v>
      </c>
      <c r="B10" s="13">
        <v>20</v>
      </c>
      <c r="C10" s="13" t="s">
        <v>7</v>
      </c>
      <c r="D10" s="24" t="s">
        <v>13</v>
      </c>
      <c r="E10" s="24">
        <v>20</v>
      </c>
      <c r="F10" s="24">
        <v>4</v>
      </c>
      <c r="G10" s="24" t="s">
        <v>22</v>
      </c>
      <c r="H10" s="27" t="s">
        <v>18</v>
      </c>
      <c r="I10" s="24">
        <v>20</v>
      </c>
      <c r="J10" s="24">
        <v>3</v>
      </c>
      <c r="K10" s="24" t="s">
        <v>22</v>
      </c>
      <c r="L10" s="27" t="s">
        <v>18</v>
      </c>
      <c r="M10" s="14">
        <f>B10+$E$10+$I$10</f>
        <v>60</v>
      </c>
      <c r="N10" s="14">
        <v>67</v>
      </c>
    </row>
    <row r="11" spans="1:14" ht="28.5" x14ac:dyDescent="0.3">
      <c r="A11" s="15" t="s">
        <v>39</v>
      </c>
      <c r="B11" s="13">
        <v>20</v>
      </c>
      <c r="C11" s="13" t="s">
        <v>7</v>
      </c>
      <c r="D11" s="24"/>
      <c r="E11" s="24"/>
      <c r="F11" s="24"/>
      <c r="G11" s="24"/>
      <c r="H11" s="24"/>
      <c r="I11" s="24"/>
      <c r="J11" s="24"/>
      <c r="K11" s="24"/>
      <c r="L11" s="24"/>
      <c r="M11" s="14">
        <f>B11+$E$10+$I$10</f>
        <v>60</v>
      </c>
      <c r="N11" s="14">
        <v>67</v>
      </c>
    </row>
    <row r="12" spans="1:14" x14ac:dyDescent="0.3">
      <c r="A12" s="14" t="s">
        <v>27</v>
      </c>
      <c r="B12" s="13">
        <v>20</v>
      </c>
      <c r="C12" s="13" t="s">
        <v>7</v>
      </c>
      <c r="D12" s="24"/>
      <c r="E12" s="24">
        <v>30</v>
      </c>
      <c r="F12" s="24">
        <v>5</v>
      </c>
      <c r="G12" s="24" t="s">
        <v>6</v>
      </c>
      <c r="H12" s="24" t="s">
        <v>14</v>
      </c>
      <c r="I12" s="24">
        <v>30</v>
      </c>
      <c r="J12" s="24">
        <v>4</v>
      </c>
      <c r="K12" s="24" t="s">
        <v>6</v>
      </c>
      <c r="L12" s="24" t="s">
        <v>14</v>
      </c>
      <c r="M12" s="14">
        <f>B12+$E$12+$I$12</f>
        <v>80</v>
      </c>
      <c r="N12" s="14">
        <v>89</v>
      </c>
    </row>
    <row r="13" spans="1:14" x14ac:dyDescent="0.3">
      <c r="A13" s="14" t="s">
        <v>28</v>
      </c>
      <c r="B13" s="13">
        <v>20</v>
      </c>
      <c r="C13" s="13" t="s">
        <v>7</v>
      </c>
      <c r="D13" s="24"/>
      <c r="E13" s="24"/>
      <c r="F13" s="24"/>
      <c r="G13" s="24"/>
      <c r="H13" s="24"/>
      <c r="I13" s="24"/>
      <c r="J13" s="24"/>
      <c r="K13" s="24"/>
      <c r="L13" s="24"/>
      <c r="M13" s="14">
        <f>B13+$E$12+$I$12</f>
        <v>80</v>
      </c>
      <c r="N13" s="14">
        <v>89</v>
      </c>
    </row>
    <row r="14" spans="1:14" x14ac:dyDescent="0.3">
      <c r="A14" s="14" t="s">
        <v>29</v>
      </c>
      <c r="B14" s="13">
        <v>25</v>
      </c>
      <c r="C14" s="13" t="s">
        <v>7</v>
      </c>
      <c r="D14" s="24"/>
      <c r="E14" s="24">
        <v>40</v>
      </c>
      <c r="F14" s="24"/>
      <c r="G14" s="24" t="s">
        <v>6</v>
      </c>
      <c r="H14" s="24"/>
      <c r="I14" s="24">
        <v>40</v>
      </c>
      <c r="J14" s="24">
        <v>3</v>
      </c>
      <c r="K14" s="24" t="s">
        <v>6</v>
      </c>
      <c r="L14" s="24"/>
      <c r="M14" s="14">
        <f>B14+$E$14+$I$14</f>
        <v>105</v>
      </c>
      <c r="N14" s="14">
        <v>113</v>
      </c>
    </row>
    <row r="15" spans="1:14" x14ac:dyDescent="0.3">
      <c r="A15" s="14" t="s">
        <v>30</v>
      </c>
      <c r="B15" s="13">
        <v>25</v>
      </c>
      <c r="C15" s="13" t="s">
        <v>7</v>
      </c>
      <c r="D15" s="24"/>
      <c r="E15" s="24"/>
      <c r="F15" s="24"/>
      <c r="G15" s="24"/>
      <c r="H15" s="24"/>
      <c r="I15" s="24"/>
      <c r="J15" s="24"/>
      <c r="K15" s="24"/>
      <c r="L15" s="24"/>
      <c r="M15" s="14">
        <f>B15+$E$14+$I$14</f>
        <v>105</v>
      </c>
      <c r="N15" s="14">
        <v>113</v>
      </c>
    </row>
    <row r="16" spans="1:14" x14ac:dyDescent="0.3">
      <c r="A16" s="14" t="s">
        <v>31</v>
      </c>
      <c r="B16" s="13">
        <v>25</v>
      </c>
      <c r="C16" s="13" t="s">
        <v>7</v>
      </c>
      <c r="D16" s="24"/>
      <c r="E16" s="24"/>
      <c r="F16" s="24"/>
      <c r="G16" s="24"/>
      <c r="H16" s="24"/>
      <c r="I16" s="24"/>
      <c r="J16" s="24"/>
      <c r="K16" s="24"/>
      <c r="L16" s="24"/>
      <c r="M16" s="14">
        <f>B16+$E$14+$I$14</f>
        <v>105</v>
      </c>
      <c r="N16" s="14">
        <v>113</v>
      </c>
    </row>
    <row r="17" spans="1:14" x14ac:dyDescent="0.3">
      <c r="A17" s="14" t="s">
        <v>32</v>
      </c>
      <c r="B17" s="13">
        <v>25</v>
      </c>
      <c r="C17" s="13" t="s">
        <v>7</v>
      </c>
      <c r="D17" s="24"/>
      <c r="E17" s="24"/>
      <c r="F17" s="24"/>
      <c r="G17" s="24"/>
      <c r="H17" s="24"/>
      <c r="I17" s="24"/>
      <c r="J17" s="24"/>
      <c r="K17" s="24"/>
      <c r="L17" s="24"/>
      <c r="M17" s="14">
        <f>B17+$E$14+$I$14</f>
        <v>105</v>
      </c>
      <c r="N17" s="14">
        <v>113</v>
      </c>
    </row>
    <row r="18" spans="1:14" x14ac:dyDescent="0.3">
      <c r="A18" s="3" t="s">
        <v>44</v>
      </c>
      <c r="B18" s="17">
        <v>8</v>
      </c>
      <c r="C18" s="18"/>
      <c r="D18" s="19"/>
      <c r="E18" s="17">
        <v>3</v>
      </c>
      <c r="F18" s="18"/>
      <c r="G18" s="18"/>
      <c r="H18" s="19"/>
      <c r="I18" s="17">
        <v>3</v>
      </c>
      <c r="J18" s="18"/>
      <c r="K18" s="18"/>
      <c r="L18" s="19"/>
      <c r="M18" s="29">
        <f>SUM(M10:M17)</f>
        <v>700</v>
      </c>
      <c r="N18" s="24">
        <f>SUM(N10:N17)</f>
        <v>764</v>
      </c>
    </row>
    <row r="19" spans="1:14" x14ac:dyDescent="0.3">
      <c r="A19" s="3" t="s">
        <v>26</v>
      </c>
      <c r="B19" s="17">
        <v>14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30"/>
      <c r="N19" s="24"/>
    </row>
    <row r="21" spans="1:14" x14ac:dyDescent="0.3">
      <c r="A21" s="4" t="s">
        <v>20</v>
      </c>
      <c r="I21" s="5"/>
      <c r="K21" s="5"/>
      <c r="L21" s="5"/>
      <c r="M21" s="5"/>
      <c r="N21" s="5"/>
    </row>
    <row r="22" spans="1:14" x14ac:dyDescent="0.3">
      <c r="A22" s="1" t="s">
        <v>21</v>
      </c>
      <c r="I22" s="5"/>
      <c r="K22" s="5"/>
      <c r="L22" s="5"/>
      <c r="M22" s="5"/>
      <c r="N22" s="5"/>
    </row>
    <row r="25" spans="1:14" ht="18" x14ac:dyDescent="0.3">
      <c r="A25" s="8" t="s">
        <v>42</v>
      </c>
      <c r="B25" s="8"/>
      <c r="C25" s="8"/>
      <c r="D25" s="8"/>
      <c r="E25" s="8"/>
      <c r="F25" s="8"/>
      <c r="G25" s="8"/>
      <c r="H25" s="8"/>
      <c r="I25" s="8"/>
      <c r="J25" s="7"/>
      <c r="N25" s="2"/>
    </row>
    <row r="26" spans="1:14" x14ac:dyDescent="0.3">
      <c r="N26" s="2"/>
    </row>
    <row r="27" spans="1:14" x14ac:dyDescent="0.3">
      <c r="A27" s="20" t="s">
        <v>0</v>
      </c>
      <c r="B27" s="31" t="s">
        <v>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 x14ac:dyDescent="0.3">
      <c r="A28" s="20"/>
      <c r="B28" s="25" t="s">
        <v>15</v>
      </c>
      <c r="C28" s="25"/>
      <c r="D28" s="25"/>
      <c r="E28" s="25" t="s">
        <v>11</v>
      </c>
      <c r="F28" s="25"/>
      <c r="G28" s="25"/>
      <c r="H28" s="25"/>
      <c r="I28" s="25" t="s">
        <v>12</v>
      </c>
      <c r="J28" s="25"/>
      <c r="K28" s="25"/>
      <c r="L28" s="25"/>
      <c r="M28" s="33" t="s">
        <v>23</v>
      </c>
      <c r="N28" s="34"/>
    </row>
    <row r="29" spans="1:14" ht="28.5" x14ac:dyDescent="0.3">
      <c r="A29" s="20"/>
      <c r="B29" s="9" t="s">
        <v>3</v>
      </c>
      <c r="C29" s="9" t="s">
        <v>4</v>
      </c>
      <c r="D29" s="9" t="s">
        <v>9</v>
      </c>
      <c r="E29" s="9" t="s">
        <v>3</v>
      </c>
      <c r="F29" s="6" t="s">
        <v>17</v>
      </c>
      <c r="G29" s="9" t="s">
        <v>4</v>
      </c>
      <c r="H29" s="9" t="s">
        <v>9</v>
      </c>
      <c r="I29" s="9" t="s">
        <v>3</v>
      </c>
      <c r="J29" s="6" t="s">
        <v>17</v>
      </c>
      <c r="K29" s="9" t="s">
        <v>4</v>
      </c>
      <c r="L29" s="9" t="s">
        <v>9</v>
      </c>
      <c r="M29" s="11" t="s">
        <v>24</v>
      </c>
      <c r="N29" s="12" t="s">
        <v>25</v>
      </c>
    </row>
    <row r="30" spans="1:14" x14ac:dyDescent="0.3">
      <c r="A30" s="15" t="s">
        <v>34</v>
      </c>
      <c r="B30" s="16">
        <v>35</v>
      </c>
      <c r="C30" s="24" t="s">
        <v>33</v>
      </c>
      <c r="D30" s="24" t="s">
        <v>14</v>
      </c>
      <c r="E30" s="13">
        <v>20</v>
      </c>
      <c r="F30" s="13">
        <v>2</v>
      </c>
      <c r="G30" s="13" t="s">
        <v>5</v>
      </c>
      <c r="H30" s="24" t="s">
        <v>14</v>
      </c>
      <c r="I30" s="13">
        <v>25</v>
      </c>
      <c r="J30" s="13">
        <v>2</v>
      </c>
      <c r="K30" s="13" t="s">
        <v>5</v>
      </c>
      <c r="L30" s="24" t="s">
        <v>14</v>
      </c>
      <c r="M30" s="14">
        <f>B30+E30+I30</f>
        <v>80</v>
      </c>
      <c r="N30" s="14">
        <v>84</v>
      </c>
    </row>
    <row r="31" spans="1:14" x14ac:dyDescent="0.3">
      <c r="A31" s="15" t="s">
        <v>35</v>
      </c>
      <c r="B31" s="16">
        <v>45</v>
      </c>
      <c r="C31" s="24"/>
      <c r="D31" s="24"/>
      <c r="E31" s="13">
        <v>20</v>
      </c>
      <c r="F31" s="24">
        <v>3</v>
      </c>
      <c r="G31" s="13" t="s">
        <v>5</v>
      </c>
      <c r="H31" s="24"/>
      <c r="I31" s="24">
        <v>25</v>
      </c>
      <c r="J31" s="24">
        <v>2</v>
      </c>
      <c r="K31" s="24" t="s">
        <v>5</v>
      </c>
      <c r="L31" s="24"/>
      <c r="M31" s="14">
        <f>B31+E31+$I$31</f>
        <v>90</v>
      </c>
      <c r="N31" s="14">
        <v>95</v>
      </c>
    </row>
    <row r="32" spans="1:14" x14ac:dyDescent="0.3">
      <c r="A32" s="15" t="s">
        <v>36</v>
      </c>
      <c r="B32" s="16">
        <v>45</v>
      </c>
      <c r="C32" s="24"/>
      <c r="D32" s="24"/>
      <c r="E32" s="24">
        <v>20</v>
      </c>
      <c r="F32" s="24"/>
      <c r="G32" s="24" t="s">
        <v>5</v>
      </c>
      <c r="H32" s="24"/>
      <c r="I32" s="24"/>
      <c r="J32" s="24"/>
      <c r="K32" s="24"/>
      <c r="L32" s="24"/>
      <c r="M32" s="14">
        <f>B32+$E$32+$I$31</f>
        <v>90</v>
      </c>
      <c r="N32" s="14">
        <v>95</v>
      </c>
    </row>
    <row r="33" spans="1:14" x14ac:dyDescent="0.3">
      <c r="A33" s="15" t="s">
        <v>37</v>
      </c>
      <c r="B33" s="16">
        <v>45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4">
        <f>B33+$E$32+$I$31</f>
        <v>90</v>
      </c>
      <c r="N33" s="14">
        <v>95</v>
      </c>
    </row>
    <row r="34" spans="1:14" x14ac:dyDescent="0.3">
      <c r="A34" s="15" t="s">
        <v>38</v>
      </c>
      <c r="B34" s="13">
        <v>20</v>
      </c>
      <c r="C34" s="27" t="s">
        <v>43</v>
      </c>
      <c r="D34" s="24" t="s">
        <v>16</v>
      </c>
      <c r="E34" s="24">
        <v>25</v>
      </c>
      <c r="F34" s="24">
        <v>4</v>
      </c>
      <c r="G34" s="24" t="s">
        <v>5</v>
      </c>
      <c r="H34" s="24"/>
      <c r="I34" s="24">
        <v>35</v>
      </c>
      <c r="J34" s="24">
        <v>3</v>
      </c>
      <c r="K34" s="24" t="s">
        <v>19</v>
      </c>
      <c r="L34" s="24"/>
      <c r="M34" s="14">
        <f>B34+$E$34+$I$34</f>
        <v>80</v>
      </c>
      <c r="N34" s="14">
        <v>87</v>
      </c>
    </row>
    <row r="35" spans="1:14" ht="28.5" x14ac:dyDescent="0.3">
      <c r="A35" s="15" t="s">
        <v>39</v>
      </c>
      <c r="B35" s="13">
        <v>20</v>
      </c>
      <c r="C35" s="32"/>
      <c r="D35" s="24"/>
      <c r="E35" s="24"/>
      <c r="F35" s="24"/>
      <c r="G35" s="24"/>
      <c r="H35" s="24"/>
      <c r="I35" s="24"/>
      <c r="J35" s="24"/>
      <c r="K35" s="24"/>
      <c r="L35" s="24"/>
      <c r="M35" s="14">
        <f>B35+$E$34+$I$34</f>
        <v>80</v>
      </c>
      <c r="N35" s="14">
        <v>87</v>
      </c>
    </row>
    <row r="36" spans="1:14" x14ac:dyDescent="0.3">
      <c r="A36" s="14" t="s">
        <v>27</v>
      </c>
      <c r="B36" s="13">
        <v>20</v>
      </c>
      <c r="C36" s="32"/>
      <c r="D36" s="24"/>
      <c r="E36" s="24">
        <v>35</v>
      </c>
      <c r="F36" s="24">
        <v>5</v>
      </c>
      <c r="G36" s="24" t="s">
        <v>5</v>
      </c>
      <c r="H36" s="24"/>
      <c r="I36" s="24">
        <v>50</v>
      </c>
      <c r="J36" s="24">
        <v>4</v>
      </c>
      <c r="K36" s="24" t="s">
        <v>5</v>
      </c>
      <c r="L36" s="24"/>
      <c r="M36" s="14">
        <f>B36+$E$36+$I$36</f>
        <v>105</v>
      </c>
      <c r="N36" s="14">
        <v>114</v>
      </c>
    </row>
    <row r="37" spans="1:14" x14ac:dyDescent="0.3">
      <c r="A37" s="14" t="s">
        <v>28</v>
      </c>
      <c r="B37" s="13">
        <v>20</v>
      </c>
      <c r="C37" s="32"/>
      <c r="D37" s="24"/>
      <c r="E37" s="24"/>
      <c r="F37" s="24"/>
      <c r="G37" s="24"/>
      <c r="H37" s="24"/>
      <c r="I37" s="24"/>
      <c r="J37" s="24"/>
      <c r="K37" s="24"/>
      <c r="L37" s="24"/>
      <c r="M37" s="14">
        <f>B37+$E$36+$I$36</f>
        <v>105</v>
      </c>
      <c r="N37" s="14">
        <v>114</v>
      </c>
    </row>
    <row r="38" spans="1:14" x14ac:dyDescent="0.3">
      <c r="A38" s="14" t="s">
        <v>29</v>
      </c>
      <c r="B38" s="13">
        <v>25</v>
      </c>
      <c r="C38" s="32"/>
      <c r="D38" s="24"/>
      <c r="E38" s="24">
        <v>45</v>
      </c>
      <c r="F38" s="24"/>
      <c r="G38" s="24" t="s">
        <v>5</v>
      </c>
      <c r="H38" s="24"/>
      <c r="I38" s="24"/>
      <c r="J38" s="24"/>
      <c r="K38" s="32" t="s">
        <v>40</v>
      </c>
      <c r="L38" s="24"/>
      <c r="M38" s="14">
        <f>B38+$E$38+$I$36</f>
        <v>120</v>
      </c>
      <c r="N38" s="14">
        <v>129</v>
      </c>
    </row>
    <row r="39" spans="1:14" x14ac:dyDescent="0.3">
      <c r="A39" s="14" t="s">
        <v>30</v>
      </c>
      <c r="B39" s="13">
        <v>25</v>
      </c>
      <c r="C39" s="32"/>
      <c r="D39" s="24"/>
      <c r="E39" s="24"/>
      <c r="F39" s="24"/>
      <c r="G39" s="24"/>
      <c r="H39" s="24"/>
      <c r="I39" s="24"/>
      <c r="J39" s="24"/>
      <c r="K39" s="24"/>
      <c r="L39" s="24"/>
      <c r="M39" s="14">
        <f>B39+$E$38+$I$36</f>
        <v>120</v>
      </c>
      <c r="N39" s="14">
        <v>129</v>
      </c>
    </row>
    <row r="40" spans="1:14" x14ac:dyDescent="0.3">
      <c r="A40" s="14" t="s">
        <v>31</v>
      </c>
      <c r="B40" s="13">
        <v>25</v>
      </c>
      <c r="C40" s="32"/>
      <c r="D40" s="24"/>
      <c r="E40" s="24"/>
      <c r="F40" s="24"/>
      <c r="G40" s="24"/>
      <c r="H40" s="24"/>
      <c r="I40" s="24"/>
      <c r="J40" s="24"/>
      <c r="K40" s="24"/>
      <c r="L40" s="24"/>
      <c r="M40" s="14">
        <f>B40+$E$38+$I$36</f>
        <v>120</v>
      </c>
      <c r="N40" s="14">
        <v>129</v>
      </c>
    </row>
    <row r="41" spans="1:14" x14ac:dyDescent="0.3">
      <c r="A41" s="14" t="s">
        <v>32</v>
      </c>
      <c r="B41" s="13">
        <v>25</v>
      </c>
      <c r="C41" s="32"/>
      <c r="D41" s="24"/>
      <c r="E41" s="24"/>
      <c r="F41" s="24"/>
      <c r="G41" s="24"/>
      <c r="H41" s="24"/>
      <c r="I41" s="24"/>
      <c r="J41" s="24"/>
      <c r="K41" s="24"/>
      <c r="L41" s="24"/>
      <c r="M41" s="14">
        <f>B41+$E$38+$I$36</f>
        <v>120</v>
      </c>
      <c r="N41" s="14">
        <v>129</v>
      </c>
    </row>
    <row r="42" spans="1:14" x14ac:dyDescent="0.3">
      <c r="A42" s="10" t="s">
        <v>8</v>
      </c>
      <c r="B42" s="17">
        <v>12</v>
      </c>
      <c r="C42" s="18"/>
      <c r="D42" s="19"/>
      <c r="E42" s="17">
        <v>6</v>
      </c>
      <c r="F42" s="18"/>
      <c r="G42" s="18"/>
      <c r="H42" s="19"/>
      <c r="I42" s="17">
        <v>4</v>
      </c>
      <c r="J42" s="18"/>
      <c r="K42" s="18"/>
      <c r="L42" s="19"/>
      <c r="M42" s="28">
        <f>SUM(M30:M41)</f>
        <v>1200</v>
      </c>
      <c r="N42" s="28">
        <f>SUM(N30:N41)</f>
        <v>1287</v>
      </c>
    </row>
    <row r="43" spans="1:14" x14ac:dyDescent="0.3">
      <c r="A43" s="10" t="s">
        <v>26</v>
      </c>
      <c r="B43" s="17">
        <v>22</v>
      </c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28"/>
      <c r="N43" s="28"/>
    </row>
  </sheetData>
  <mergeCells count="75">
    <mergeCell ref="L2:N2"/>
    <mergeCell ref="B18:D18"/>
    <mergeCell ref="B19:L19"/>
    <mergeCell ref="M4:N4"/>
    <mergeCell ref="M28:N28"/>
    <mergeCell ref="M42:M43"/>
    <mergeCell ref="K36:K37"/>
    <mergeCell ref="E38:E41"/>
    <mergeCell ref="G38:G41"/>
    <mergeCell ref="K38:K41"/>
    <mergeCell ref="B42:D42"/>
    <mergeCell ref="E42:H42"/>
    <mergeCell ref="I42:L42"/>
    <mergeCell ref="E36:E37"/>
    <mergeCell ref="F36:F41"/>
    <mergeCell ref="D30:D33"/>
    <mergeCell ref="H30:H41"/>
    <mergeCell ref="E32:E33"/>
    <mergeCell ref="J36:J41"/>
    <mergeCell ref="A27:A29"/>
    <mergeCell ref="B27:N27"/>
    <mergeCell ref="B28:D28"/>
    <mergeCell ref="E28:H28"/>
    <mergeCell ref="I28:L28"/>
    <mergeCell ref="D34:D41"/>
    <mergeCell ref="E34:E35"/>
    <mergeCell ref="C30:C33"/>
    <mergeCell ref="C34:C41"/>
    <mergeCell ref="N42:N43"/>
    <mergeCell ref="B43:L43"/>
    <mergeCell ref="M18:M19"/>
    <mergeCell ref="L30:L41"/>
    <mergeCell ref="F31:F33"/>
    <mergeCell ref="I31:I33"/>
    <mergeCell ref="J31:J33"/>
    <mergeCell ref="K31:K33"/>
    <mergeCell ref="G32:G33"/>
    <mergeCell ref="F34:F35"/>
    <mergeCell ref="G34:G35"/>
    <mergeCell ref="I34:I35"/>
    <mergeCell ref="J34:J35"/>
    <mergeCell ref="K34:K35"/>
    <mergeCell ref="G36:G37"/>
    <mergeCell ref="I36:I41"/>
    <mergeCell ref="B4:D4"/>
    <mergeCell ref="E4:H4"/>
    <mergeCell ref="I4:L4"/>
    <mergeCell ref="B6:N9"/>
    <mergeCell ref="L12:L17"/>
    <mergeCell ref="L10:L11"/>
    <mergeCell ref="H10:H11"/>
    <mergeCell ref="F10:F11"/>
    <mergeCell ref="F12:F17"/>
    <mergeCell ref="E10:E11"/>
    <mergeCell ref="G10:G11"/>
    <mergeCell ref="I10:I11"/>
    <mergeCell ref="J10:J11"/>
    <mergeCell ref="K10:K11"/>
    <mergeCell ref="D10:D17"/>
    <mergeCell ref="I18:L18"/>
    <mergeCell ref="A3:A5"/>
    <mergeCell ref="B3:N3"/>
    <mergeCell ref="N18:N19"/>
    <mergeCell ref="E18:H18"/>
    <mergeCell ref="H12:H17"/>
    <mergeCell ref="E14:E17"/>
    <mergeCell ref="G14:G17"/>
    <mergeCell ref="I14:I17"/>
    <mergeCell ref="K14:K17"/>
    <mergeCell ref="E12:E13"/>
    <mergeCell ref="G12:G13"/>
    <mergeCell ref="I12:I13"/>
    <mergeCell ref="K12:K13"/>
    <mergeCell ref="J12:J13"/>
    <mergeCell ref="J14:J17"/>
  </mergeCells>
  <phoneticPr fontId="2" type="noConversion"/>
  <pageMargins left="0.25" right="0.25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검사전체</vt:lpstr>
      <vt:lpstr>검사전체!Print_Area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KIRBS</dc:creator>
  <cp:lastModifiedBy>권효진</cp:lastModifiedBy>
  <cp:lastPrinted>2018-12-05T02:43:37Z</cp:lastPrinted>
  <dcterms:created xsi:type="dcterms:W3CDTF">2018-08-03T07:01:28Z</dcterms:created>
  <dcterms:modified xsi:type="dcterms:W3CDTF">2018-12-05T02:44:16Z</dcterms:modified>
</cp:coreProperties>
</file>